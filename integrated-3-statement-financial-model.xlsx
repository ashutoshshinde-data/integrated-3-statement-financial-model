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b52529ac7d1625/Desktop/Project_Work/CFI/"/>
    </mc:Choice>
  </mc:AlternateContent>
  <xr:revisionPtr revIDLastSave="0" documentId="13_ncr:1_{A4EE31E9-5406-431E-81D7-54CFE95AAE59}" xr6:coauthVersionLast="47" xr6:coauthVersionMax="47" xr10:uidLastSave="{00000000-0000-0000-0000-000000000000}"/>
  <bookViews>
    <workbookView xWindow="-108" yWindow="-108" windowWidth="23256" windowHeight="13176" xr2:uid="{E5CCC83C-7FA5-7344-8D9E-DCD20885CE04}"/>
  </bookViews>
  <sheets>
    <sheet name="Financial Model " sheetId="6" r:id="rId1"/>
  </sheets>
  <calcPr calcId="191029" iterate="1" iterateCount="10000" iterateDelta="1.0000000000000001E-5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7" i="6" l="1"/>
  <c r="F117" i="6"/>
  <c r="G117" i="6"/>
  <c r="H117" i="6"/>
  <c r="E118" i="6"/>
  <c r="F118" i="6"/>
  <c r="G118" i="6"/>
  <c r="H118" i="6"/>
  <c r="E119" i="6"/>
  <c r="F119" i="6"/>
  <c r="G119" i="6"/>
  <c r="H119" i="6"/>
  <c r="E120" i="6"/>
  <c r="F120" i="6"/>
  <c r="G120" i="6"/>
  <c r="H120" i="6"/>
  <c r="D120" i="6"/>
  <c r="D119" i="6"/>
  <c r="D118" i="6"/>
  <c r="D117" i="6"/>
  <c r="D115" i="6"/>
  <c r="E42" i="6"/>
  <c r="F42" i="6"/>
  <c r="G42" i="6"/>
  <c r="H42" i="6"/>
  <c r="E43" i="6"/>
  <c r="F43" i="6"/>
  <c r="G43" i="6"/>
  <c r="H43" i="6"/>
  <c r="E44" i="6"/>
  <c r="F44" i="6"/>
  <c r="G44" i="6"/>
  <c r="H44" i="6"/>
  <c r="E45" i="6"/>
  <c r="F45" i="6"/>
  <c r="G45" i="6"/>
  <c r="H45" i="6"/>
  <c r="E48" i="6"/>
  <c r="E49" i="6" s="1"/>
  <c r="F48" i="6"/>
  <c r="G48" i="6"/>
  <c r="H48" i="6"/>
  <c r="F49" i="6"/>
  <c r="G49" i="6"/>
  <c r="H49" i="6"/>
  <c r="E51" i="6"/>
  <c r="F51" i="6"/>
  <c r="G51" i="6"/>
  <c r="H51" i="6"/>
  <c r="E53" i="6"/>
  <c r="F53" i="6"/>
  <c r="G53" i="6"/>
  <c r="H53" i="6"/>
  <c r="E54" i="6"/>
  <c r="F54" i="6"/>
  <c r="G54" i="6"/>
  <c r="H54" i="6"/>
  <c r="D57" i="6"/>
  <c r="D54" i="6"/>
  <c r="D53" i="6"/>
  <c r="D51" i="6"/>
  <c r="D49" i="6"/>
  <c r="D48" i="6"/>
  <c r="D45" i="6"/>
  <c r="D44" i="6"/>
  <c r="D43" i="6"/>
  <c r="D42" i="6"/>
  <c r="E32" i="6"/>
  <c r="F32" i="6"/>
  <c r="G32" i="6" s="1"/>
  <c r="H32" i="6" s="1"/>
  <c r="D108" i="6"/>
  <c r="C111" i="6"/>
  <c r="D32" i="6"/>
  <c r="E29" i="6"/>
  <c r="F29" i="6"/>
  <c r="G29" i="6"/>
  <c r="H29" i="6"/>
  <c r="D29" i="6"/>
  <c r="E25" i="6"/>
  <c r="F25" i="6"/>
  <c r="G25" i="6"/>
  <c r="H25" i="6"/>
  <c r="D25" i="6"/>
  <c r="E77" i="6"/>
  <c r="F77" i="6" s="1"/>
  <c r="G77" i="6" s="1"/>
  <c r="H77" i="6" s="1"/>
  <c r="D77" i="6"/>
  <c r="C77" i="6"/>
  <c r="E22" i="6"/>
  <c r="F22" i="6"/>
  <c r="G22" i="6"/>
  <c r="H22" i="6"/>
  <c r="D22" i="6"/>
  <c r="E102" i="6"/>
  <c r="E105" i="6" s="1"/>
  <c r="F102" i="6" s="1"/>
  <c r="F105" i="6" s="1"/>
  <c r="G102" i="6" s="1"/>
  <c r="G105" i="6" s="1"/>
  <c r="H102" i="6" s="1"/>
  <c r="H105" i="6" s="1"/>
  <c r="E103" i="6"/>
  <c r="F103" i="6"/>
  <c r="G103" i="6"/>
  <c r="H103" i="6"/>
  <c r="E104" i="6"/>
  <c r="F104" i="6"/>
  <c r="G104" i="6"/>
  <c r="H104" i="6"/>
  <c r="D105" i="6"/>
  <c r="D104" i="6"/>
  <c r="D103" i="6"/>
  <c r="D102" i="6"/>
  <c r="C105" i="6"/>
  <c r="D20" i="6"/>
  <c r="E20" i="6"/>
  <c r="F20" i="6"/>
  <c r="G20" i="6"/>
  <c r="H20" i="6"/>
  <c r="E19" i="6"/>
  <c r="F19" i="6"/>
  <c r="G19" i="6"/>
  <c r="H19" i="6"/>
  <c r="D19" i="6"/>
  <c r="E72" i="6"/>
  <c r="F72" i="6"/>
  <c r="G72" i="6"/>
  <c r="H72" i="6"/>
  <c r="D72" i="6"/>
  <c r="E71" i="6"/>
  <c r="F71" i="6"/>
  <c r="G71" i="6"/>
  <c r="H71" i="6"/>
  <c r="D71" i="6"/>
  <c r="C76" i="6"/>
  <c r="D76" i="6"/>
  <c r="E76" i="6"/>
  <c r="F76" i="6" s="1"/>
  <c r="G76" i="6" s="1"/>
  <c r="H76" i="6" s="1"/>
  <c r="E75" i="6"/>
  <c r="F75" i="6" s="1"/>
  <c r="G75" i="6" s="1"/>
  <c r="H75" i="6" s="1"/>
  <c r="D75" i="6"/>
  <c r="C75" i="6"/>
  <c r="C38" i="6"/>
  <c r="C36" i="6"/>
  <c r="C34" i="6"/>
  <c r="C30" i="6"/>
  <c r="C27" i="6"/>
  <c r="C23" i="6"/>
  <c r="C21" i="6"/>
  <c r="E81" i="6"/>
  <c r="F81" i="6"/>
  <c r="G81" i="6"/>
  <c r="H81" i="6"/>
  <c r="D81" i="6"/>
  <c r="E9" i="6"/>
  <c r="F9" i="6"/>
  <c r="G9" i="6"/>
  <c r="H9" i="6"/>
  <c r="D9" i="6"/>
  <c r="E100" i="6"/>
  <c r="F100" i="6"/>
  <c r="G100" i="6"/>
  <c r="H100" i="6"/>
  <c r="D100" i="6"/>
  <c r="E99" i="6"/>
  <c r="F99" i="6"/>
  <c r="G99" i="6"/>
  <c r="H99" i="6"/>
  <c r="D99" i="6"/>
  <c r="D92" i="6"/>
  <c r="C92" i="6" a="1"/>
  <c r="C92" i="6" s="1"/>
  <c r="D98" i="6"/>
  <c r="E98" i="6"/>
  <c r="F98" i="6"/>
  <c r="G98" i="6"/>
  <c r="H98" i="6"/>
  <c r="C98" i="6"/>
  <c r="C89" i="6"/>
  <c r="E5" i="6"/>
  <c r="F5" i="6"/>
  <c r="G5" i="6"/>
  <c r="H5" i="6"/>
  <c r="E6" i="6"/>
  <c r="E7" i="6" s="1"/>
  <c r="F6" i="6"/>
  <c r="F7" i="6" s="1"/>
  <c r="F10" i="6" s="1"/>
  <c r="G6" i="6"/>
  <c r="G7" i="6" s="1"/>
  <c r="G10" i="6" s="1"/>
  <c r="H6" i="6"/>
  <c r="H7" i="6" s="1"/>
  <c r="H10" i="6" s="1"/>
  <c r="E8" i="6"/>
  <c r="F8" i="6"/>
  <c r="G8" i="6"/>
  <c r="H8" i="6"/>
  <c r="D10" i="6"/>
  <c r="D8" i="6"/>
  <c r="D7" i="6"/>
  <c r="D6" i="6"/>
  <c r="D5" i="6"/>
  <c r="H96" i="6"/>
  <c r="H95" i="6"/>
  <c r="G95" i="6"/>
  <c r="H94" i="6"/>
  <c r="G94" i="6"/>
  <c r="F94" i="6"/>
  <c r="H93" i="6"/>
  <c r="G93" i="6"/>
  <c r="F93" i="6"/>
  <c r="E93" i="6"/>
  <c r="E79" i="6"/>
  <c r="F79" i="6" s="1"/>
  <c r="G79" i="6" s="1"/>
  <c r="H79" i="6" s="1"/>
  <c r="B77" i="6"/>
  <c r="B76" i="6"/>
  <c r="B75" i="6"/>
  <c r="C33" i="6"/>
  <c r="D17" i="6"/>
  <c r="E17" i="6" s="1"/>
  <c r="D4" i="6"/>
  <c r="E10" i="6" l="1"/>
  <c r="H92" i="6"/>
  <c r="G92" i="6"/>
  <c r="F92" i="6"/>
  <c r="E92" i="6"/>
  <c r="E4" i="6"/>
  <c r="F17" i="6"/>
  <c r="F4" i="6" l="1"/>
  <c r="G17" i="6"/>
  <c r="G4" i="6" l="1"/>
  <c r="H17" i="6"/>
  <c r="H4" i="6" s="1"/>
  <c r="D11" i="6" l="1"/>
  <c r="E11" i="6"/>
  <c r="F11" i="6"/>
  <c r="G11" i="6"/>
  <c r="H11" i="6"/>
  <c r="D12" i="6"/>
  <c r="E12" i="6"/>
  <c r="F12" i="6"/>
  <c r="G12" i="6"/>
  <c r="H12" i="6"/>
  <c r="D13" i="6"/>
  <c r="E13" i="6"/>
  <c r="F13" i="6"/>
  <c r="G13" i="6"/>
  <c r="H13" i="6"/>
  <c r="D14" i="6"/>
  <c r="E14" i="6"/>
  <c r="F14" i="6"/>
  <c r="G14" i="6"/>
  <c r="H14" i="6"/>
  <c r="D18" i="6"/>
  <c r="E18" i="6"/>
  <c r="F18" i="6"/>
  <c r="G18" i="6"/>
  <c r="H18" i="6"/>
  <c r="D21" i="6"/>
  <c r="E21" i="6"/>
  <c r="F21" i="6"/>
  <c r="G21" i="6"/>
  <c r="H21" i="6"/>
  <c r="D23" i="6"/>
  <c r="E23" i="6"/>
  <c r="F23" i="6"/>
  <c r="G23" i="6"/>
  <c r="H23" i="6"/>
  <c r="D26" i="6"/>
  <c r="E26" i="6"/>
  <c r="F26" i="6"/>
  <c r="G26" i="6"/>
  <c r="H26" i="6"/>
  <c r="D27" i="6"/>
  <c r="E27" i="6"/>
  <c r="F27" i="6"/>
  <c r="G27" i="6"/>
  <c r="H27" i="6"/>
  <c r="D30" i="6"/>
  <c r="E30" i="6"/>
  <c r="F30" i="6"/>
  <c r="G30" i="6"/>
  <c r="H30" i="6"/>
  <c r="D33" i="6"/>
  <c r="E33" i="6"/>
  <c r="F33" i="6"/>
  <c r="G33" i="6"/>
  <c r="H33" i="6"/>
  <c r="D34" i="6"/>
  <c r="E34" i="6"/>
  <c r="F34" i="6"/>
  <c r="G34" i="6"/>
  <c r="H34" i="6"/>
  <c r="D36" i="6"/>
  <c r="E36" i="6"/>
  <c r="F36" i="6"/>
  <c r="G36" i="6"/>
  <c r="H36" i="6"/>
  <c r="D38" i="6"/>
  <c r="E38" i="6"/>
  <c r="F38" i="6"/>
  <c r="G38" i="6"/>
  <c r="H38" i="6"/>
  <c r="D41" i="6"/>
  <c r="E41" i="6"/>
  <c r="F41" i="6"/>
  <c r="G41" i="6"/>
  <c r="H41" i="6"/>
  <c r="D46" i="6"/>
  <c r="E46" i="6"/>
  <c r="F46" i="6"/>
  <c r="G46" i="6"/>
  <c r="H46" i="6"/>
  <c r="D52" i="6"/>
  <c r="E52" i="6"/>
  <c r="F52" i="6"/>
  <c r="G52" i="6"/>
  <c r="H52" i="6"/>
  <c r="D55" i="6"/>
  <c r="E55" i="6"/>
  <c r="F55" i="6"/>
  <c r="G55" i="6"/>
  <c r="H55" i="6"/>
  <c r="E57" i="6"/>
  <c r="F57" i="6"/>
  <c r="G57" i="6"/>
  <c r="H57" i="6"/>
  <c r="D58" i="6"/>
  <c r="E58" i="6"/>
  <c r="F58" i="6"/>
  <c r="G58" i="6"/>
  <c r="H58" i="6"/>
  <c r="D59" i="6"/>
  <c r="E59" i="6"/>
  <c r="F59" i="6"/>
  <c r="G59" i="6"/>
  <c r="H59" i="6"/>
  <c r="E108" i="6"/>
  <c r="F108" i="6"/>
  <c r="G108" i="6"/>
  <c r="H108" i="6"/>
  <c r="D109" i="6"/>
  <c r="E109" i="6"/>
  <c r="F109" i="6"/>
  <c r="G109" i="6"/>
  <c r="H109" i="6"/>
  <c r="D111" i="6"/>
  <c r="E111" i="6"/>
  <c r="F111" i="6"/>
  <c r="G111" i="6"/>
  <c r="H111" i="6"/>
  <c r="E115" i="6"/>
  <c r="F115" i="6"/>
  <c r="G115" i="6"/>
  <c r="H115" i="6"/>
  <c r="D116" i="6"/>
  <c r="E116" i="6"/>
  <c r="F116" i="6"/>
  <c r="G116" i="6"/>
  <c r="H116" i="6"/>
  <c r="D121" i="6"/>
  <c r="F121" i="6"/>
  <c r="G121" i="6"/>
  <c r="H121" i="6"/>
  <c r="D124" i="6"/>
  <c r="E124" i="6"/>
  <c r="F124" i="6"/>
  <c r="G124" i="6"/>
  <c r="H124" i="6"/>
  <c r="D125" i="6"/>
  <c r="E125" i="6"/>
  <c r="F125" i="6"/>
  <c r="G125" i="6"/>
  <c r="H125" i="6"/>
  <c r="C126" i="6"/>
  <c r="D126" i="6"/>
  <c r="E126" i="6"/>
  <c r="F126" i="6"/>
  <c r="G126" i="6"/>
  <c r="H126" i="6"/>
  <c r="D129" i="6"/>
  <c r="E129" i="6"/>
  <c r="F129" i="6"/>
  <c r="G129" i="6"/>
  <c r="H129" i="6"/>
  <c r="D130" i="6"/>
  <c r="E130" i="6"/>
  <c r="F130" i="6"/>
  <c r="G130" i="6"/>
  <c r="H13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<sst xmlns="http://schemas.openxmlformats.org/spreadsheetml/2006/main" count="106" uniqueCount="82">
  <si>
    <t>Income Statement</t>
  </si>
  <si>
    <t>Balance Sheet</t>
  </si>
  <si>
    <t>Cash Flow Statement</t>
  </si>
  <si>
    <t>Revenue</t>
  </si>
  <si>
    <t>Inventory</t>
  </si>
  <si>
    <t>Cash Flow from Operating Activities</t>
  </si>
  <si>
    <t>Cash Flow from Investing Activities</t>
  </si>
  <si>
    <t>Cash Flow from Financing Activities</t>
  </si>
  <si>
    <t>Beginning Cash Balance</t>
  </si>
  <si>
    <t>Change in Cash</t>
  </si>
  <si>
    <t>Retained Earnings</t>
  </si>
  <si>
    <t>COGS</t>
  </si>
  <si>
    <t>SG&amp;A</t>
  </si>
  <si>
    <t>Figures in USD millions</t>
  </si>
  <si>
    <t>Gross Profit</t>
  </si>
  <si>
    <t>Depreciation</t>
  </si>
  <si>
    <t>Operating Profit</t>
  </si>
  <si>
    <t>Interest Expense</t>
  </si>
  <si>
    <t>Earnings Before Tax</t>
  </si>
  <si>
    <t>Taxes</t>
  </si>
  <si>
    <t>Net Income</t>
  </si>
  <si>
    <t>Cash &amp; Cash Equivalents</t>
  </si>
  <si>
    <t>Accounts Receivable</t>
  </si>
  <si>
    <t>Total Current Assets</t>
  </si>
  <si>
    <t>Property Plant &amp; Equipment (PPE)</t>
  </si>
  <si>
    <t>Total Assets</t>
  </si>
  <si>
    <t>Accounts Payable</t>
  </si>
  <si>
    <t>Revolver</t>
  </si>
  <si>
    <t>Total Current Liabilities</t>
  </si>
  <si>
    <t>Long Term Debt</t>
  </si>
  <si>
    <t>Total Liabilities</t>
  </si>
  <si>
    <t>Common Stock</t>
  </si>
  <si>
    <t>Total Shareholders' Equity</t>
  </si>
  <si>
    <t>Total Liabilities &amp; Equity</t>
  </si>
  <si>
    <t>Balance Sheet Check</t>
  </si>
  <si>
    <t>Change in Accounts Receivable</t>
  </si>
  <si>
    <t>Change in Inventory</t>
  </si>
  <si>
    <t>Change in Accounts Payable</t>
  </si>
  <si>
    <t>Capital Expenditures</t>
  </si>
  <si>
    <t>Change in LT Debt</t>
  </si>
  <si>
    <t>Change in Revolver</t>
  </si>
  <si>
    <t>Change in Common Stock</t>
  </si>
  <si>
    <t>Dividends</t>
  </si>
  <si>
    <t>Supporting Schedules</t>
  </si>
  <si>
    <t>Assumptions</t>
  </si>
  <si>
    <t>Fixed Assets Schedule</t>
  </si>
  <si>
    <t>Tax Rate</t>
  </si>
  <si>
    <t>Income Statement Assumptions</t>
  </si>
  <si>
    <t>Balance Sheet Assumptions</t>
  </si>
  <si>
    <t>End of Year Cash Balance</t>
  </si>
  <si>
    <t>Beginning of Year Cash Balance</t>
  </si>
  <si>
    <t>Beginning PPE</t>
  </si>
  <si>
    <t>Capex</t>
  </si>
  <si>
    <t>Ending PPE</t>
  </si>
  <si>
    <t>Interest</t>
  </si>
  <si>
    <t>X</t>
  </si>
  <si>
    <t>Units Sold</t>
  </si>
  <si>
    <t>Price per Unit</t>
  </si>
  <si>
    <t>SG&amp;A as a % of Rev</t>
  </si>
  <si>
    <t>COGS as a % of Rev</t>
  </si>
  <si>
    <t>Existing Asset Depreciation</t>
  </si>
  <si>
    <t>New Assets Depreciation</t>
  </si>
  <si>
    <t>Total Depreciation</t>
  </si>
  <si>
    <t>New Assets Useful Life (years)</t>
  </si>
  <si>
    <t>Existing Assets Useful Life (years)</t>
  </si>
  <si>
    <t xml:space="preserve">COGS </t>
  </si>
  <si>
    <t>Retained Earnings Schedule</t>
  </si>
  <si>
    <t>End of Period RE</t>
  </si>
  <si>
    <t>Beginning of Period RE</t>
  </si>
  <si>
    <t>Available Cash</t>
  </si>
  <si>
    <t>Cash from operations</t>
  </si>
  <si>
    <t>Cash from Investing</t>
  </si>
  <si>
    <t>Cash Available for Revolver</t>
  </si>
  <si>
    <t>Beginning Balance</t>
  </si>
  <si>
    <t>Ending Balance</t>
  </si>
  <si>
    <t>Total Interest Expense</t>
  </si>
  <si>
    <t>Interest Expense %</t>
  </si>
  <si>
    <t>3 Statement Financial Model</t>
  </si>
  <si>
    <t>PP&amp;E 2023 EOP</t>
  </si>
  <si>
    <t>Figures in USD</t>
  </si>
  <si>
    <t>Revolver Interest Rate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</si>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</sst>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A"/>
    <numFmt numFmtId="165" formatCode="0\F"/>
    <numFmt numFmtId="166" formatCode="_(#,##0_);\(#,##0\);_(&quot;–&quot;_);_(@_)"/>
    <numFmt numFmtId="167" formatCode="0.0%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6" fillId="2" borderId="0" xfId="0" applyFont="1" applyFill="1" applyAlignment="1">
      <alignment horizontal="left" vertical="center" indent="1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3" borderId="0" xfId="0" applyFont="1" applyFill="1"/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6" fontId="0" fillId="0" borderId="0" xfId="0" applyNumberFormat="1"/>
    <xf numFmtId="0" fontId="3" fillId="0" borderId="1" xfId="0" applyFont="1" applyBorder="1"/>
    <xf numFmtId="166" fontId="3" fillId="0" borderId="1" xfId="0" applyNumberFormat="1" applyFont="1" applyBorder="1"/>
    <xf numFmtId="166" fontId="5" fillId="0" borderId="0" xfId="0" applyNumberFormat="1" applyFont="1"/>
    <xf numFmtId="166" fontId="0" fillId="6" borderId="0" xfId="0" applyNumberFormat="1" applyFill="1"/>
    <xf numFmtId="0" fontId="3" fillId="4" borderId="2" xfId="0" applyFont="1" applyFill="1" applyBorder="1"/>
    <xf numFmtId="166" fontId="3" fillId="4" borderId="2" xfId="0" applyNumberFormat="1" applyFont="1" applyFill="1" applyBorder="1"/>
    <xf numFmtId="0" fontId="3" fillId="0" borderId="2" xfId="0" applyFont="1" applyBorder="1"/>
    <xf numFmtId="166" fontId="3" fillId="0" borderId="2" xfId="0" applyNumberFormat="1" applyFont="1" applyBorder="1"/>
    <xf numFmtId="0" fontId="4" fillId="5" borderId="0" xfId="0" applyFont="1" applyFill="1"/>
    <xf numFmtId="166" fontId="4" fillId="5" borderId="0" xfId="0" applyNumberFormat="1" applyFont="1" applyFill="1"/>
    <xf numFmtId="166" fontId="3" fillId="0" borderId="0" xfId="0" applyNumberFormat="1" applyFont="1"/>
    <xf numFmtId="0" fontId="3" fillId="3" borderId="0" xfId="0" applyFont="1" applyFill="1"/>
    <xf numFmtId="0" fontId="0" fillId="3" borderId="0" xfId="0" applyFill="1"/>
    <xf numFmtId="1" fontId="5" fillId="0" borderId="0" xfId="0" applyNumberFormat="1" applyFont="1"/>
    <xf numFmtId="167" fontId="5" fillId="0" borderId="0" xfId="1" applyNumberFormat="1" applyFont="1" applyProtection="1"/>
    <xf numFmtId="167" fontId="5" fillId="0" borderId="0" xfId="0" applyNumberFormat="1" applyFont="1"/>
    <xf numFmtId="167" fontId="0" fillId="0" borderId="0" xfId="1" applyNumberFormat="1" applyFont="1" applyProtection="1"/>
    <xf numFmtId="167" fontId="0" fillId="0" borderId="0" xfId="0" applyNumberFormat="1"/>
    <xf numFmtId="0" fontId="5" fillId="0" borderId="0" xfId="0" applyFont="1"/>
  </cellXfs>
  <cellStyles count="3">
    <cellStyle name="Hyperlink 2" xfId="2" xr:uid="{B27EC12D-F977-4F06-8E0B-10E23EB427CF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432FF"/>
      <color rgb="FF07367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2E95-2BFD-B543-A2B5-EF1EEC291FAD}">
  <dimension ref="A1:I161"/>
  <sheetViews>
    <sheetView tabSelected="1" topLeftCell="A97" zoomScaleNormal="100" workbookViewId="0">
      <selection activeCell="C105" sqref="C105"/>
    </sheetView>
  </sheetViews>
  <sheetFormatPr defaultColWidth="8.8984375" defaultRowHeight="15.6" x14ac:dyDescent="0.3"/>
  <cols>
    <col min="1" max="1" width="4.09765625" customWidth="1"/>
    <col min="2" max="2" width="30.5" customWidth="1"/>
    <col min="3" max="3" width="10.3984375" customWidth="1"/>
  </cols>
  <sheetData>
    <row r="1" spans="1:8" ht="48.9" customHeight="1" x14ac:dyDescent="0.3">
      <c r="B1" s="2" t="s">
        <v>77</v>
      </c>
      <c r="C1" s="3"/>
      <c r="D1" s="3"/>
      <c r="E1" s="3"/>
      <c r="F1" s="3"/>
      <c r="G1" s="3"/>
      <c r="H1" s="3"/>
    </row>
    <row r="3" spans="1:8" x14ac:dyDescent="0.3">
      <c r="A3" t="s">
        <v>55</v>
      </c>
      <c r="B3" s="4" t="s">
        <v>0</v>
      </c>
      <c r="C3" s="4"/>
      <c r="D3" s="4"/>
      <c r="E3" s="4"/>
      <c r="F3" s="4"/>
      <c r="G3" s="4"/>
      <c r="H3" s="4"/>
    </row>
    <row r="4" spans="1:8" x14ac:dyDescent="0.3">
      <c r="B4" s="5" t="s">
        <v>13</v>
      </c>
      <c r="C4" s="6"/>
      <c r="D4" s="7">
        <f>D17</f>
        <v>2024</v>
      </c>
      <c r="E4" s="7">
        <f>E17</f>
        <v>2025</v>
      </c>
      <c r="F4" s="7">
        <f>F17</f>
        <v>2026</v>
      </c>
      <c r="G4" s="7">
        <f>G17</f>
        <v>2027</v>
      </c>
      <c r="H4" s="7">
        <f>H17</f>
        <v>2028</v>
      </c>
    </row>
    <row r="5" spans="1:8" x14ac:dyDescent="0.3">
      <c r="B5" t="s">
        <v>3</v>
      </c>
      <c r="C5" s="8"/>
      <c r="D5" s="8">
        <f>D63*D64</f>
        <v>198380</v>
      </c>
      <c r="E5" s="8">
        <f t="shared" ref="E5:H5" si="0">E63*E64</f>
        <v>208299</v>
      </c>
      <c r="F5" s="8">
        <f t="shared" si="0"/>
        <v>223177.5</v>
      </c>
      <c r="G5" s="8">
        <f t="shared" si="0"/>
        <v>235576.25</v>
      </c>
      <c r="H5" s="8">
        <f t="shared" si="0"/>
        <v>247975</v>
      </c>
    </row>
    <row r="6" spans="1:8" x14ac:dyDescent="0.3">
      <c r="B6" t="s">
        <v>11</v>
      </c>
      <c r="C6" s="8"/>
      <c r="D6" s="8">
        <f>-D66*D5</f>
        <v>-85303.4</v>
      </c>
      <c r="E6" s="8">
        <f t="shared" ref="E6:H6" si="1">-E66*E5</f>
        <v>-89568.569999999992</v>
      </c>
      <c r="F6" s="8">
        <f t="shared" si="1"/>
        <v>-89271</v>
      </c>
      <c r="G6" s="8">
        <f t="shared" si="1"/>
        <v>-89518.975000000006</v>
      </c>
      <c r="H6" s="8">
        <f t="shared" si="1"/>
        <v>-94230.5</v>
      </c>
    </row>
    <row r="7" spans="1:8" x14ac:dyDescent="0.3">
      <c r="B7" s="9" t="s">
        <v>14</v>
      </c>
      <c r="C7" s="10"/>
      <c r="D7" s="10">
        <f>SUM(D5:D6)</f>
        <v>113076.6</v>
      </c>
      <c r="E7" s="10">
        <f t="shared" ref="E7:H7" si="2">SUM(E5:E6)</f>
        <v>118730.43000000001</v>
      </c>
      <c r="F7" s="10">
        <f t="shared" si="2"/>
        <v>133906.5</v>
      </c>
      <c r="G7" s="10">
        <f t="shared" si="2"/>
        <v>146057.27499999999</v>
      </c>
      <c r="H7" s="10">
        <f t="shared" si="2"/>
        <v>153744.5</v>
      </c>
    </row>
    <row r="8" spans="1:8" x14ac:dyDescent="0.3">
      <c r="B8" t="s">
        <v>12</v>
      </c>
      <c r="C8" s="8"/>
      <c r="D8" s="8">
        <f>D5*-D67</f>
        <v>-69433</v>
      </c>
      <c r="E8" s="8">
        <f t="shared" ref="E8:H8" si="3">E5*-E67</f>
        <v>-72904.649999999994</v>
      </c>
      <c r="F8" s="8">
        <f t="shared" si="3"/>
        <v>-78112.125</v>
      </c>
      <c r="G8" s="8">
        <f t="shared" si="3"/>
        <v>-82451.6875</v>
      </c>
      <c r="H8" s="8">
        <f t="shared" si="3"/>
        <v>-86791.25</v>
      </c>
    </row>
    <row r="9" spans="1:8" x14ac:dyDescent="0.3">
      <c r="B9" t="s">
        <v>15</v>
      </c>
      <c r="C9" s="11"/>
      <c r="D9" s="12">
        <f>-D100</f>
        <v>-6399</v>
      </c>
      <c r="E9" s="12">
        <f t="shared" ref="E9:H9" si="4">-E100</f>
        <v>-7599</v>
      </c>
      <c r="F9" s="12">
        <f t="shared" si="4"/>
        <v>-8599</v>
      </c>
      <c r="G9" s="12">
        <f t="shared" si="4"/>
        <v>-9349</v>
      </c>
      <c r="H9" s="12">
        <f t="shared" si="4"/>
        <v>-10099</v>
      </c>
    </row>
    <row r="10" spans="1:8" x14ac:dyDescent="0.3">
      <c r="B10" s="9" t="s">
        <v>16</v>
      </c>
      <c r="C10" s="10"/>
      <c r="D10" s="10">
        <f>SUM(D7:D9)</f>
        <v>37244.600000000006</v>
      </c>
      <c r="E10" s="10">
        <f t="shared" ref="E10:H10" si="5">SUM(E7:E9)</f>
        <v>38226.780000000013</v>
      </c>
      <c r="F10" s="10">
        <f t="shared" si="5"/>
        <v>47195.375</v>
      </c>
      <c r="G10" s="10">
        <f t="shared" si="5"/>
        <v>54256.587499999994</v>
      </c>
      <c r="H10" s="10">
        <f t="shared" si="5"/>
        <v>56854.25</v>
      </c>
    </row>
    <row r="11" spans="1:8" x14ac:dyDescent="0.3">
      <c r="B11" t="s">
        <v>54</v>
      </c>
      <c r="C11" s="11"/>
      <c r="D11" s="12">
        <f ca="1">-D130</f>
        <v>-2800.0000000000005</v>
      </c>
      <c r="E11" s="12">
        <f t="shared" ref="E11:H11" ca="1" si="6">-E130</f>
        <v>-2612.5000000000005</v>
      </c>
      <c r="F11" s="12">
        <f t="shared" ca="1" si="6"/>
        <v>-2425.0000000000005</v>
      </c>
      <c r="G11" s="12">
        <f t="shared" ca="1" si="6"/>
        <v>-2050.0000000000005</v>
      </c>
      <c r="H11" s="12">
        <f t="shared" ca="1" si="6"/>
        <v>-1300.0000000000005</v>
      </c>
    </row>
    <row r="12" spans="1:8" x14ac:dyDescent="0.3">
      <c r="B12" s="9" t="s">
        <v>18</v>
      </c>
      <c r="C12" s="10"/>
      <c r="D12" s="10">
        <f ca="1">SUM(D10:D11)</f>
        <v>34444.600000000006</v>
      </c>
      <c r="E12" s="10">
        <f t="shared" ref="E12:H12" ca="1" si="7">SUM(E10:E11)</f>
        <v>35614.280000000013</v>
      </c>
      <c r="F12" s="10">
        <f t="shared" ca="1" si="7"/>
        <v>44770.375</v>
      </c>
      <c r="G12" s="10">
        <f t="shared" ca="1" si="7"/>
        <v>52206.587499999994</v>
      </c>
      <c r="H12" s="10">
        <f t="shared" ca="1" si="7"/>
        <v>55554.25</v>
      </c>
    </row>
    <row r="13" spans="1:8" x14ac:dyDescent="0.3">
      <c r="B13" t="s">
        <v>19</v>
      </c>
      <c r="C13" s="8"/>
      <c r="D13" s="8">
        <f ca="1">-IF(D12&gt;0,D12*D69,0)</f>
        <v>-7233.3660000000009</v>
      </c>
      <c r="E13" s="8">
        <f t="shared" ref="E13:H13" ca="1" si="8">-IF(E12&gt;0,E12*E69,0)</f>
        <v>-7478.9988000000021</v>
      </c>
      <c r="F13" s="8">
        <f t="shared" ca="1" si="8"/>
        <v>-9401.7787499999995</v>
      </c>
      <c r="G13" s="8">
        <f t="shared" ca="1" si="8"/>
        <v>-10963.383374999998</v>
      </c>
      <c r="H13" s="8">
        <f t="shared" ca="1" si="8"/>
        <v>-11666.3925</v>
      </c>
    </row>
    <row r="14" spans="1:8" x14ac:dyDescent="0.3">
      <c r="B14" s="13" t="s">
        <v>20</v>
      </c>
      <c r="C14" s="14"/>
      <c r="D14" s="14">
        <f ca="1">SUM(D12:D13)</f>
        <v>27211.234000000004</v>
      </c>
      <c r="E14" s="14">
        <f t="shared" ref="E14:H14" ca="1" si="9">SUM(E12:E13)</f>
        <v>28135.281200000012</v>
      </c>
      <c r="F14" s="14">
        <f t="shared" ca="1" si="9"/>
        <v>35368.596250000002</v>
      </c>
      <c r="G14" s="14">
        <f t="shared" ca="1" si="9"/>
        <v>41243.204124999997</v>
      </c>
      <c r="H14" s="14">
        <f t="shared" ca="1" si="9"/>
        <v>43887.857499999998</v>
      </c>
    </row>
    <row r="16" spans="1:8" x14ac:dyDescent="0.3">
      <c r="A16" t="s">
        <v>55</v>
      </c>
      <c r="B16" s="4" t="s">
        <v>1</v>
      </c>
      <c r="C16" s="4"/>
      <c r="D16" s="4"/>
      <c r="E16" s="4"/>
      <c r="F16" s="4"/>
      <c r="G16" s="4"/>
      <c r="H16" s="4"/>
    </row>
    <row r="17" spans="2:8" x14ac:dyDescent="0.3">
      <c r="B17" s="5" t="s">
        <v>79</v>
      </c>
      <c r="C17" s="6">
        <v>2023</v>
      </c>
      <c r="D17" s="7">
        <f>C17+1</f>
        <v>2024</v>
      </c>
      <c r="E17" s="7">
        <f>D17+1</f>
        <v>2025</v>
      </c>
      <c r="F17" s="7">
        <f>E17+1</f>
        <v>2026</v>
      </c>
      <c r="G17" s="7">
        <f>F17+1</f>
        <v>2027</v>
      </c>
      <c r="H17" s="7">
        <f>G17+1</f>
        <v>2028</v>
      </c>
    </row>
    <row r="18" spans="2:8" x14ac:dyDescent="0.3">
      <c r="B18" t="s">
        <v>21</v>
      </c>
      <c r="C18" s="11">
        <v>14589</v>
      </c>
      <c r="D18" s="8">
        <f ca="1">D59</f>
        <v>21534.405428426988</v>
      </c>
      <c r="E18" s="8">
        <f t="shared" ref="E18:H18" ca="1" si="10">E59</f>
        <v>-42493.354800151646</v>
      </c>
      <c r="F18" s="8">
        <f t="shared" ca="1" si="10"/>
        <v>-99474.727910468791</v>
      </c>
      <c r="G18" s="8">
        <f t="shared" ca="1" si="10"/>
        <v>-227132.15327332943</v>
      </c>
      <c r="H18" s="8">
        <f t="shared" ca="1" si="10"/>
        <v>-506024.32044955733</v>
      </c>
    </row>
    <row r="19" spans="2:8" x14ac:dyDescent="0.3">
      <c r="B19" t="s">
        <v>22</v>
      </c>
      <c r="C19" s="11">
        <v>9877</v>
      </c>
      <c r="D19" s="8">
        <f>D75*D71</f>
        <v>12323.498304999466</v>
      </c>
      <c r="E19" s="8">
        <f t="shared" ref="E19:H20" si="11">E75*E71</f>
        <v>12939.673220249439</v>
      </c>
      <c r="F19" s="8">
        <f t="shared" si="11"/>
        <v>13863.935593124399</v>
      </c>
      <c r="G19" s="8">
        <f t="shared" si="11"/>
        <v>14634.154237186865</v>
      </c>
      <c r="H19" s="8">
        <f t="shared" si="11"/>
        <v>15404.372881249332</v>
      </c>
    </row>
    <row r="20" spans="2:8" x14ac:dyDescent="0.3">
      <c r="B20" t="s">
        <v>4</v>
      </c>
      <c r="C20" s="11">
        <v>8579</v>
      </c>
      <c r="D20" s="8">
        <f>D76*D72</f>
        <v>9643.2667264030351</v>
      </c>
      <c r="E20" s="8">
        <f t="shared" si="11"/>
        <v>10125.430062723188</v>
      </c>
      <c r="F20" s="8">
        <f t="shared" si="11"/>
        <v>10091.790760189224</v>
      </c>
      <c r="G20" s="8">
        <f t="shared" si="11"/>
        <v>10119.823512300862</v>
      </c>
      <c r="H20" s="8">
        <f t="shared" si="11"/>
        <v>10652.445802421958</v>
      </c>
    </row>
    <row r="21" spans="2:8" x14ac:dyDescent="0.3">
      <c r="B21" s="9" t="s">
        <v>23</v>
      </c>
      <c r="C21" s="10">
        <f>SUM(C18:C20)</f>
        <v>33045</v>
      </c>
      <c r="D21" s="10">
        <f ca="1">SUM(D18:D20)</f>
        <v>43501.170459829489</v>
      </c>
      <c r="E21" s="10">
        <f t="shared" ref="E21:H21" ca="1" si="12">SUM(E18:E20)</f>
        <v>-19428.251517179022</v>
      </c>
      <c r="F21" s="10">
        <f t="shared" ca="1" si="12"/>
        <v>-75519.001557155178</v>
      </c>
      <c r="G21" s="10">
        <f t="shared" ca="1" si="12"/>
        <v>-202378.17552384172</v>
      </c>
      <c r="H21" s="10">
        <f t="shared" ca="1" si="12"/>
        <v>-479967.50176588603</v>
      </c>
    </row>
    <row r="22" spans="2:8" x14ac:dyDescent="0.3">
      <c r="B22" t="s">
        <v>24</v>
      </c>
      <c r="C22" s="11">
        <v>48990</v>
      </c>
      <c r="D22" s="8">
        <f>D105</f>
        <v>57591</v>
      </c>
      <c r="E22" s="8">
        <f t="shared" ref="E22:H22" si="13">E105</f>
        <v>61992</v>
      </c>
      <c r="F22" s="8">
        <f t="shared" si="13"/>
        <v>63393</v>
      </c>
      <c r="G22" s="8">
        <f t="shared" si="13"/>
        <v>61544</v>
      </c>
      <c r="H22" s="8">
        <f t="shared" si="13"/>
        <v>58945</v>
      </c>
    </row>
    <row r="23" spans="2:8" x14ac:dyDescent="0.3">
      <c r="B23" s="13" t="s">
        <v>25</v>
      </c>
      <c r="C23" s="14">
        <f>SUM(C21:C22)</f>
        <v>82035</v>
      </c>
      <c r="D23" s="14">
        <f t="shared" ref="D23:H23" ca="1" si="14">SUM(D21:D22)</f>
        <v>101092.17045982949</v>
      </c>
      <c r="E23" s="14">
        <f t="shared" ca="1" si="14"/>
        <v>42563.748482820978</v>
      </c>
      <c r="F23" s="14">
        <f t="shared" ca="1" si="14"/>
        <v>-12126.001557155178</v>
      </c>
      <c r="G23" s="14">
        <f t="shared" ca="1" si="14"/>
        <v>-140834.17552384172</v>
      </c>
      <c r="H23" s="14">
        <f t="shared" ca="1" si="14"/>
        <v>-421022.50176588603</v>
      </c>
    </row>
    <row r="25" spans="2:8" x14ac:dyDescent="0.3">
      <c r="B25" t="s">
        <v>26</v>
      </c>
      <c r="C25" s="11">
        <v>14880</v>
      </c>
      <c r="D25" s="8">
        <f>D72*D77</f>
        <v>16725.936459829485</v>
      </c>
      <c r="E25" s="8">
        <f t="shared" ref="E25:H25" si="15">E72*E77</f>
        <v>17562.233282820962</v>
      </c>
      <c r="F25" s="8">
        <f t="shared" si="15"/>
        <v>17503.886992844811</v>
      </c>
      <c r="G25" s="8">
        <f t="shared" si="15"/>
        <v>17552.508901158271</v>
      </c>
      <c r="H25" s="8">
        <f t="shared" si="15"/>
        <v>18476.325159113971</v>
      </c>
    </row>
    <row r="26" spans="2:8" x14ac:dyDescent="0.3">
      <c r="B26" t="s">
        <v>27</v>
      </c>
      <c r="C26" s="8">
        <v>0</v>
      </c>
      <c r="D26" s="8">
        <f ca="1">D126</f>
        <v>0</v>
      </c>
      <c r="E26" s="8">
        <f t="shared" ref="E26:H26" ca="1" si="16">E126</f>
        <v>-75000</v>
      </c>
      <c r="F26" s="8">
        <f t="shared" ca="1" si="16"/>
        <v>-150000</v>
      </c>
      <c r="G26" s="8">
        <f t="shared" ca="1" si="16"/>
        <v>-300000</v>
      </c>
      <c r="H26" s="8">
        <f t="shared" ca="1" si="16"/>
        <v>-600000</v>
      </c>
    </row>
    <row r="27" spans="2:8" x14ac:dyDescent="0.3">
      <c r="B27" s="9" t="s">
        <v>28</v>
      </c>
      <c r="C27" s="10">
        <f>SUM(C25:C26)</f>
        <v>14880</v>
      </c>
      <c r="D27" s="10">
        <f t="shared" ref="D27:H27" ca="1" si="17">SUM(D25:D26)</f>
        <v>16725.936459829485</v>
      </c>
      <c r="E27" s="10">
        <f t="shared" ca="1" si="17"/>
        <v>-57437.766717179038</v>
      </c>
      <c r="F27" s="10">
        <f t="shared" ca="1" si="17"/>
        <v>-132496.11300715519</v>
      </c>
      <c r="G27" s="10">
        <f t="shared" ca="1" si="17"/>
        <v>-282447.49109884171</v>
      </c>
      <c r="H27" s="10">
        <f t="shared" ca="1" si="17"/>
        <v>-581523.67484088603</v>
      </c>
    </row>
    <row r="29" spans="2:8" x14ac:dyDescent="0.3">
      <c r="B29" t="s">
        <v>29</v>
      </c>
      <c r="C29" s="11">
        <v>40000</v>
      </c>
      <c r="D29" s="8">
        <f>D79</f>
        <v>40000</v>
      </c>
      <c r="E29" s="8">
        <f t="shared" ref="E29:H29" si="18">E79</f>
        <v>40000</v>
      </c>
      <c r="F29" s="8">
        <f t="shared" si="18"/>
        <v>40000</v>
      </c>
      <c r="G29" s="8">
        <f t="shared" si="18"/>
        <v>40000</v>
      </c>
      <c r="H29" s="8">
        <f t="shared" si="18"/>
        <v>40000</v>
      </c>
    </row>
    <row r="30" spans="2:8" x14ac:dyDescent="0.3">
      <c r="B30" s="15" t="s">
        <v>30</v>
      </c>
      <c r="C30" s="16">
        <f>SUM(C27:C29)</f>
        <v>54880</v>
      </c>
      <c r="D30" s="16">
        <f ca="1">SUM(D27:D29)</f>
        <v>56725.936459829485</v>
      </c>
      <c r="E30" s="16">
        <f t="shared" ref="E30:H30" ca="1" si="19">SUM(E27:E29)</f>
        <v>-17437.766717179038</v>
      </c>
      <c r="F30" s="16">
        <f t="shared" ca="1" si="19"/>
        <v>-92496.113007155189</v>
      </c>
      <c r="G30" s="16">
        <f t="shared" ca="1" si="19"/>
        <v>-242447.49109884171</v>
      </c>
      <c r="H30" s="16">
        <f t="shared" ca="1" si="19"/>
        <v>-541523.67484088603</v>
      </c>
    </row>
    <row r="32" spans="2:8" x14ac:dyDescent="0.3">
      <c r="B32" t="s">
        <v>31</v>
      </c>
      <c r="C32" s="11">
        <v>25000</v>
      </c>
      <c r="D32" s="8">
        <f>C32</f>
        <v>25000</v>
      </c>
      <c r="E32" s="8">
        <f t="shared" ref="E32:H32" si="20">D32</f>
        <v>25000</v>
      </c>
      <c r="F32" s="8">
        <f t="shared" si="20"/>
        <v>25000</v>
      </c>
      <c r="G32" s="8">
        <f t="shared" si="20"/>
        <v>25000</v>
      </c>
      <c r="H32" s="8">
        <f t="shared" si="20"/>
        <v>25000</v>
      </c>
    </row>
    <row r="33" spans="1:8" x14ac:dyDescent="0.3">
      <c r="B33" t="s">
        <v>10</v>
      </c>
      <c r="C33" s="11">
        <f>24155-22000</f>
        <v>2155</v>
      </c>
      <c r="D33" s="8">
        <f ca="1">D111</f>
        <v>19366.234000000004</v>
      </c>
      <c r="E33" s="8">
        <f t="shared" ref="E33:H33" ca="1" si="21">E111</f>
        <v>35001.515200000016</v>
      </c>
      <c r="F33" s="8">
        <f t="shared" ca="1" si="21"/>
        <v>55370.111450000026</v>
      </c>
      <c r="G33" s="8">
        <f t="shared" ca="1" si="21"/>
        <v>76613.315575000015</v>
      </c>
      <c r="H33" s="8">
        <f t="shared" ca="1" si="21"/>
        <v>95501.173075000013</v>
      </c>
    </row>
    <row r="34" spans="1:8" x14ac:dyDescent="0.3">
      <c r="B34" s="15" t="s">
        <v>32</v>
      </c>
      <c r="C34" s="16">
        <f>SUM(C32:C33)</f>
        <v>27155</v>
      </c>
      <c r="D34" s="16">
        <f t="shared" ref="D34:H34" ca="1" si="22">SUM(D32:D33)</f>
        <v>44366.234000000004</v>
      </c>
      <c r="E34" s="16">
        <f t="shared" ca="1" si="22"/>
        <v>60001.515200000016</v>
      </c>
      <c r="F34" s="16">
        <f t="shared" ca="1" si="22"/>
        <v>80370.111450000026</v>
      </c>
      <c r="G34" s="16">
        <f t="shared" ca="1" si="22"/>
        <v>101613.31557500002</v>
      </c>
      <c r="H34" s="16">
        <f t="shared" ca="1" si="22"/>
        <v>120501.17307500001</v>
      </c>
    </row>
    <row r="36" spans="1:8" x14ac:dyDescent="0.3">
      <c r="B36" s="13" t="s">
        <v>33</v>
      </c>
      <c r="C36" s="14">
        <f>C30+C34</f>
        <v>82035</v>
      </c>
      <c r="D36" s="14">
        <f ca="1">D30+D34</f>
        <v>101092.17045982949</v>
      </c>
      <c r="E36" s="14">
        <f t="shared" ref="E36:H36" ca="1" si="23">E30+E34</f>
        <v>42563.748482820978</v>
      </c>
      <c r="F36" s="14">
        <f t="shared" ca="1" si="23"/>
        <v>-12126.001557155163</v>
      </c>
      <c r="G36" s="14">
        <f t="shared" ca="1" si="23"/>
        <v>-140834.1755238417</v>
      </c>
      <c r="H36" s="14">
        <f t="shared" ca="1" si="23"/>
        <v>-421022.50176588603</v>
      </c>
    </row>
    <row r="38" spans="1:8" x14ac:dyDescent="0.3">
      <c r="B38" s="17" t="s">
        <v>34</v>
      </c>
      <c r="C38" s="18">
        <f>C23-C36</f>
        <v>0</v>
      </c>
      <c r="D38" s="18">
        <f t="shared" ref="D38:H38" ca="1" si="24">D23-D36</f>
        <v>0</v>
      </c>
      <c r="E38" s="18">
        <f t="shared" ca="1" si="24"/>
        <v>0</v>
      </c>
      <c r="F38" s="18">
        <f ca="1">F23-F36</f>
        <v>-1.4551915228366852E-11</v>
      </c>
      <c r="G38" s="18">
        <f t="shared" ca="1" si="24"/>
        <v>0</v>
      </c>
      <c r="H38" s="18">
        <f t="shared" ca="1" si="24"/>
        <v>0</v>
      </c>
    </row>
    <row r="39" spans="1:8" x14ac:dyDescent="0.3">
      <c r="F39" t="s">
        <v>81</v>
      </c>
    </row>
    <row r="40" spans="1:8" x14ac:dyDescent="0.3">
      <c r="A40" t="s">
        <v>55</v>
      </c>
      <c r="B40" s="4" t="s">
        <v>2</v>
      </c>
      <c r="C40" s="4"/>
      <c r="D40" s="4"/>
      <c r="E40" s="4"/>
      <c r="F40" s="4"/>
      <c r="G40" s="4"/>
      <c r="H40" s="4"/>
    </row>
    <row r="41" spans="1:8" x14ac:dyDescent="0.3">
      <c r="B41" t="s">
        <v>20</v>
      </c>
      <c r="C41" s="8"/>
      <c r="D41" s="8">
        <f ca="1">D14</f>
        <v>27211.234000000004</v>
      </c>
      <c r="E41" s="8">
        <f t="shared" ref="E41:H41" ca="1" si="25">E14</f>
        <v>28135.281200000012</v>
      </c>
      <c r="F41" s="8">
        <f t="shared" ca="1" si="25"/>
        <v>35368.596250000002</v>
      </c>
      <c r="G41" s="8">
        <f t="shared" ca="1" si="25"/>
        <v>41243.204124999997</v>
      </c>
      <c r="H41" s="8">
        <f t="shared" ca="1" si="25"/>
        <v>43887.857499999998</v>
      </c>
    </row>
    <row r="42" spans="1:8" x14ac:dyDescent="0.3">
      <c r="B42" t="s">
        <v>15</v>
      </c>
      <c r="C42" s="8"/>
      <c r="D42" s="8">
        <f>-D9</f>
        <v>6399</v>
      </c>
      <c r="E42" s="8">
        <f t="shared" ref="E42:H42" si="26">-E9</f>
        <v>7599</v>
      </c>
      <c r="F42" s="8">
        <f t="shared" si="26"/>
        <v>8599</v>
      </c>
      <c r="G42" s="8">
        <f t="shared" si="26"/>
        <v>9349</v>
      </c>
      <c r="H42" s="8">
        <f t="shared" si="26"/>
        <v>10099</v>
      </c>
    </row>
    <row r="43" spans="1:8" x14ac:dyDescent="0.3">
      <c r="B43" t="s">
        <v>35</v>
      </c>
      <c r="D43" s="8">
        <f>C19-D19</f>
        <v>-2446.4983049994662</v>
      </c>
      <c r="E43" s="8">
        <f t="shared" ref="E43:H43" si="27">D19-E19</f>
        <v>-616.1749152499724</v>
      </c>
      <c r="F43" s="8">
        <f t="shared" si="27"/>
        <v>-924.26237287496042</v>
      </c>
      <c r="G43" s="8">
        <f t="shared" si="27"/>
        <v>-770.21864406246641</v>
      </c>
      <c r="H43" s="8">
        <f t="shared" si="27"/>
        <v>-770.21864406246641</v>
      </c>
    </row>
    <row r="44" spans="1:8" x14ac:dyDescent="0.3">
      <c r="B44" t="s">
        <v>36</v>
      </c>
      <c r="D44" s="8">
        <f>C20-D20</f>
        <v>-1064.2667264030351</v>
      </c>
      <c r="E44" s="8">
        <f t="shared" ref="E44:H44" si="28">D20-E20</f>
        <v>-482.16333632015267</v>
      </c>
      <c r="F44" s="8">
        <f t="shared" si="28"/>
        <v>33.639302533963928</v>
      </c>
      <c r="G44" s="8">
        <f t="shared" si="28"/>
        <v>-28.032752111637819</v>
      </c>
      <c r="H44" s="8">
        <f t="shared" si="28"/>
        <v>-532.62229012109674</v>
      </c>
    </row>
    <row r="45" spans="1:8" x14ac:dyDescent="0.3">
      <c r="B45" t="s">
        <v>37</v>
      </c>
      <c r="D45" s="8">
        <f>D25-C25</f>
        <v>1845.9364598294851</v>
      </c>
      <c r="E45" s="8">
        <f t="shared" ref="E45:H45" si="29">E25-D25</f>
        <v>836.2968229914768</v>
      </c>
      <c r="F45" s="8">
        <f t="shared" si="29"/>
        <v>-58.346289976150729</v>
      </c>
      <c r="G45" s="8">
        <f t="shared" si="29"/>
        <v>48.621908313460153</v>
      </c>
      <c r="H45" s="8">
        <f t="shared" si="29"/>
        <v>923.81625795569926</v>
      </c>
    </row>
    <row r="46" spans="1:8" x14ac:dyDescent="0.3">
      <c r="B46" s="15" t="s">
        <v>5</v>
      </c>
      <c r="C46" s="15"/>
      <c r="D46" s="16">
        <f ca="1">SUM(D41:D45)</f>
        <v>31945.405428426988</v>
      </c>
      <c r="E46" s="16">
        <f t="shared" ref="E46:H46" ca="1" si="30">SUM(E41:E45)</f>
        <v>35472.239771421366</v>
      </c>
      <c r="F46" s="16">
        <f t="shared" ca="1" si="30"/>
        <v>43018.626889682855</v>
      </c>
      <c r="G46" s="16">
        <f t="shared" ca="1" si="30"/>
        <v>49842.574637139362</v>
      </c>
      <c r="H46" s="16">
        <f t="shared" ca="1" si="30"/>
        <v>53607.832823772129</v>
      </c>
    </row>
    <row r="48" spans="1:8" x14ac:dyDescent="0.3">
      <c r="B48" t="s">
        <v>38</v>
      </c>
      <c r="D48" s="8">
        <f>-D85</f>
        <v>-15000</v>
      </c>
      <c r="E48" s="8">
        <f t="shared" ref="E48:H48" si="31">-E85</f>
        <v>-12000</v>
      </c>
      <c r="F48" s="8">
        <f t="shared" si="31"/>
        <v>-10000</v>
      </c>
      <c r="G48" s="8">
        <f t="shared" si="31"/>
        <v>-7500</v>
      </c>
      <c r="H48" s="8">
        <f t="shared" si="31"/>
        <v>-7500</v>
      </c>
    </row>
    <row r="49" spans="1:8" x14ac:dyDescent="0.3">
      <c r="B49" s="15" t="s">
        <v>6</v>
      </c>
      <c r="C49" s="15"/>
      <c r="D49" s="16">
        <f>D48</f>
        <v>-15000</v>
      </c>
      <c r="E49" s="16">
        <f t="shared" ref="E49:H49" si="32">E48</f>
        <v>-12000</v>
      </c>
      <c r="F49" s="16">
        <f t="shared" si="32"/>
        <v>-10000</v>
      </c>
      <c r="G49" s="16">
        <f t="shared" si="32"/>
        <v>-7500</v>
      </c>
      <c r="H49" s="16">
        <f t="shared" si="32"/>
        <v>-7500</v>
      </c>
    </row>
    <row r="51" spans="1:8" x14ac:dyDescent="0.3">
      <c r="B51" t="s">
        <v>39</v>
      </c>
      <c r="D51" s="8">
        <f>D29-C29</f>
        <v>0</v>
      </c>
      <c r="E51" s="8">
        <f t="shared" ref="E51:H51" si="33">E29-D29</f>
        <v>0</v>
      </c>
      <c r="F51" s="8">
        <f t="shared" si="33"/>
        <v>0</v>
      </c>
      <c r="G51" s="8">
        <f t="shared" si="33"/>
        <v>0</v>
      </c>
      <c r="H51" s="8">
        <f t="shared" si="33"/>
        <v>0</v>
      </c>
    </row>
    <row r="52" spans="1:8" x14ac:dyDescent="0.3">
      <c r="B52" t="s">
        <v>40</v>
      </c>
      <c r="D52" s="8">
        <f ca="1">D26-C26</f>
        <v>0</v>
      </c>
      <c r="E52" s="8">
        <f t="shared" ref="E52:H52" ca="1" si="34">E26-D26</f>
        <v>-75000</v>
      </c>
      <c r="F52" s="8">
        <f t="shared" ca="1" si="34"/>
        <v>-75000</v>
      </c>
      <c r="G52" s="8">
        <f t="shared" ca="1" si="34"/>
        <v>-150000</v>
      </c>
      <c r="H52" s="8">
        <f t="shared" ca="1" si="34"/>
        <v>-300000</v>
      </c>
    </row>
    <row r="53" spans="1:8" x14ac:dyDescent="0.3">
      <c r="B53" t="s">
        <v>41</v>
      </c>
      <c r="D53" s="8">
        <f>D32-C32</f>
        <v>0</v>
      </c>
      <c r="E53" s="8">
        <f t="shared" ref="E53:H53" si="35">E32-D32</f>
        <v>0</v>
      </c>
      <c r="F53" s="8">
        <f t="shared" si="35"/>
        <v>0</v>
      </c>
      <c r="G53" s="8">
        <f t="shared" si="35"/>
        <v>0</v>
      </c>
      <c r="H53" s="8">
        <f t="shared" si="35"/>
        <v>0</v>
      </c>
    </row>
    <row r="54" spans="1:8" x14ac:dyDescent="0.3">
      <c r="B54" t="s">
        <v>42</v>
      </c>
      <c r="D54" s="8">
        <f>D110</f>
        <v>-10000</v>
      </c>
      <c r="E54" s="8">
        <f t="shared" ref="E54:H54" si="36">E110</f>
        <v>-12500</v>
      </c>
      <c r="F54" s="8">
        <f t="shared" si="36"/>
        <v>-15000</v>
      </c>
      <c r="G54" s="8">
        <f t="shared" si="36"/>
        <v>-20000</v>
      </c>
      <c r="H54" s="8">
        <f t="shared" si="36"/>
        <v>-25000</v>
      </c>
    </row>
    <row r="55" spans="1:8" x14ac:dyDescent="0.3">
      <c r="B55" s="15" t="s">
        <v>7</v>
      </c>
      <c r="C55" s="15"/>
      <c r="D55" s="16">
        <f ca="1">SUM(D51:D54)</f>
        <v>-10000</v>
      </c>
      <c r="E55" s="16">
        <f t="shared" ref="E55:H55" ca="1" si="37">SUM(E51:E54)</f>
        <v>-87500</v>
      </c>
      <c r="F55" s="16">
        <f t="shared" ca="1" si="37"/>
        <v>-90000</v>
      </c>
      <c r="G55" s="16">
        <f t="shared" ca="1" si="37"/>
        <v>-170000</v>
      </c>
      <c r="H55" s="16">
        <f t="shared" ca="1" si="37"/>
        <v>-325000</v>
      </c>
    </row>
    <row r="57" spans="1:8" x14ac:dyDescent="0.3">
      <c r="B57" t="s">
        <v>50</v>
      </c>
      <c r="D57" s="8">
        <f>C18</f>
        <v>14589</v>
      </c>
      <c r="E57" s="8">
        <f t="shared" ref="E57:H57" ca="1" si="38">D18</f>
        <v>21534.405428426988</v>
      </c>
      <c r="F57" s="8">
        <f t="shared" ca="1" si="38"/>
        <v>-42493.354800151646</v>
      </c>
      <c r="G57" s="8">
        <f t="shared" ca="1" si="38"/>
        <v>-99474.727910468791</v>
      </c>
      <c r="H57" s="8">
        <f t="shared" ca="1" si="38"/>
        <v>-227132.15327332943</v>
      </c>
    </row>
    <row r="58" spans="1:8" x14ac:dyDescent="0.3">
      <c r="B58" s="13" t="s">
        <v>9</v>
      </c>
      <c r="C58" s="13"/>
      <c r="D58" s="14">
        <f ca="1">D46+D49+D55</f>
        <v>6945.4054284269878</v>
      </c>
      <c r="E58" s="14">
        <f t="shared" ref="E58:H58" ca="1" si="39">E46+E49+E55</f>
        <v>-64027.760228578634</v>
      </c>
      <c r="F58" s="14">
        <f t="shared" ca="1" si="39"/>
        <v>-56981.373110317145</v>
      </c>
      <c r="G58" s="14">
        <f t="shared" ca="1" si="39"/>
        <v>-127657.42536286064</v>
      </c>
      <c r="H58" s="14">
        <f t="shared" ca="1" si="39"/>
        <v>-278892.1671762279</v>
      </c>
    </row>
    <row r="59" spans="1:8" x14ac:dyDescent="0.3">
      <c r="B59" t="s">
        <v>49</v>
      </c>
      <c r="D59" s="8">
        <f ca="1">SUM(D57:D58)</f>
        <v>21534.405428426988</v>
      </c>
      <c r="E59" s="8">
        <f t="shared" ref="E59:H59" ca="1" si="40">SUM(E57:E58)</f>
        <v>-42493.354800151646</v>
      </c>
      <c r="F59" s="8">
        <f t="shared" ca="1" si="40"/>
        <v>-99474.727910468791</v>
      </c>
      <c r="G59" s="8">
        <f t="shared" ca="1" si="40"/>
        <v>-227132.15327332943</v>
      </c>
      <c r="H59" s="8">
        <f t="shared" ca="1" si="40"/>
        <v>-506024.32044955733</v>
      </c>
    </row>
    <row r="60" spans="1:8" x14ac:dyDescent="0.3">
      <c r="B60" s="1"/>
      <c r="C60" s="19"/>
      <c r="D60" s="19"/>
      <c r="E60" s="19"/>
      <c r="F60" s="19"/>
      <c r="G60" s="19"/>
      <c r="H60" s="19"/>
    </row>
    <row r="61" spans="1:8" x14ac:dyDescent="0.3">
      <c r="A61" t="s">
        <v>55</v>
      </c>
      <c r="B61" s="4" t="s">
        <v>44</v>
      </c>
      <c r="C61" s="4"/>
      <c r="D61" s="4"/>
      <c r="E61" s="4"/>
      <c r="F61" s="4"/>
      <c r="G61" s="4"/>
      <c r="H61" s="4"/>
    </row>
    <row r="62" spans="1:8" x14ac:dyDescent="0.3">
      <c r="B62" s="20" t="s">
        <v>47</v>
      </c>
      <c r="C62" s="21"/>
      <c r="D62" s="21"/>
      <c r="E62" s="21"/>
      <c r="F62" s="21"/>
      <c r="G62" s="21"/>
      <c r="H62" s="21"/>
    </row>
    <row r="63" spans="1:8" x14ac:dyDescent="0.3">
      <c r="B63" t="s">
        <v>56</v>
      </c>
      <c r="C63" s="22"/>
      <c r="D63" s="22">
        <v>400</v>
      </c>
      <c r="E63" s="22">
        <v>420</v>
      </c>
      <c r="F63" s="22">
        <v>450</v>
      </c>
      <c r="G63" s="22">
        <v>475</v>
      </c>
      <c r="H63" s="22">
        <v>500</v>
      </c>
    </row>
    <row r="64" spans="1:8" x14ac:dyDescent="0.3">
      <c r="B64" t="s">
        <v>57</v>
      </c>
      <c r="C64" s="22"/>
      <c r="D64" s="22">
        <v>495.95</v>
      </c>
      <c r="E64" s="22">
        <v>495.95</v>
      </c>
      <c r="F64" s="22">
        <v>495.95</v>
      </c>
      <c r="G64" s="22">
        <v>495.95</v>
      </c>
      <c r="H64" s="22">
        <v>495.95</v>
      </c>
    </row>
    <row r="66" spans="2:8" x14ac:dyDescent="0.3">
      <c r="B66" t="s">
        <v>59</v>
      </c>
      <c r="C66" s="23"/>
      <c r="D66" s="23">
        <v>0.43</v>
      </c>
      <c r="E66" s="23">
        <v>0.43</v>
      </c>
      <c r="F66" s="23">
        <v>0.4</v>
      </c>
      <c r="G66" s="23">
        <v>0.38</v>
      </c>
      <c r="H66" s="23">
        <v>0.38</v>
      </c>
    </row>
    <row r="67" spans="2:8" x14ac:dyDescent="0.3">
      <c r="B67" t="s">
        <v>58</v>
      </c>
      <c r="C67" s="23"/>
      <c r="D67" s="23">
        <v>0.35</v>
      </c>
      <c r="E67" s="24">
        <v>0.35</v>
      </c>
      <c r="F67" s="24">
        <v>0.35</v>
      </c>
      <c r="G67" s="24">
        <v>0.35</v>
      </c>
      <c r="H67" s="24">
        <v>0.35</v>
      </c>
    </row>
    <row r="68" spans="2:8" x14ac:dyDescent="0.3">
      <c r="C68" s="25"/>
      <c r="D68" s="26"/>
      <c r="E68" s="26"/>
      <c r="F68" s="26"/>
      <c r="G68" s="26"/>
      <c r="H68" s="26"/>
    </row>
    <row r="69" spans="2:8" x14ac:dyDescent="0.3">
      <c r="B69" t="s">
        <v>46</v>
      </c>
      <c r="C69" s="24"/>
      <c r="D69" s="24">
        <v>0.21</v>
      </c>
      <c r="E69" s="24">
        <v>0.21</v>
      </c>
      <c r="F69" s="24">
        <v>0.21</v>
      </c>
      <c r="G69" s="24">
        <v>0.21</v>
      </c>
      <c r="H69" s="24">
        <v>0.21</v>
      </c>
    </row>
    <row r="71" spans="2:8" x14ac:dyDescent="0.3">
      <c r="B71" t="s">
        <v>3</v>
      </c>
      <c r="C71" s="11">
        <v>158997</v>
      </c>
      <c r="D71" s="8">
        <f>D5</f>
        <v>198380</v>
      </c>
      <c r="E71" s="8">
        <f t="shared" ref="E71:H71" si="41">E5</f>
        <v>208299</v>
      </c>
      <c r="F71" s="8">
        <f t="shared" si="41"/>
        <v>223177.5</v>
      </c>
      <c r="G71" s="8">
        <f t="shared" si="41"/>
        <v>235576.25</v>
      </c>
      <c r="H71" s="8">
        <f t="shared" si="41"/>
        <v>247975</v>
      </c>
    </row>
    <row r="72" spans="2:8" x14ac:dyDescent="0.3">
      <c r="B72" t="s">
        <v>65</v>
      </c>
      <c r="C72" s="11">
        <v>75889</v>
      </c>
      <c r="D72" s="8">
        <f>-D6</f>
        <v>85303.4</v>
      </c>
      <c r="E72" s="8">
        <f t="shared" ref="E72:H72" si="42">-E6</f>
        <v>89568.569999999992</v>
      </c>
      <c r="F72" s="8">
        <f t="shared" si="42"/>
        <v>89271</v>
      </c>
      <c r="G72" s="8">
        <f t="shared" si="42"/>
        <v>89518.975000000006</v>
      </c>
      <c r="H72" s="8">
        <f t="shared" si="42"/>
        <v>94230.5</v>
      </c>
    </row>
    <row r="74" spans="2:8" x14ac:dyDescent="0.3">
      <c r="B74" s="20" t="s">
        <v>48</v>
      </c>
      <c r="C74" s="21"/>
      <c r="D74" s="21"/>
      <c r="E74" s="21"/>
      <c r="F74" s="21"/>
      <c r="G74" s="21"/>
      <c r="H74" s="21"/>
    </row>
    <row r="75" spans="2:8" x14ac:dyDescent="0.3">
      <c r="B75" t="str">
        <f>B19&amp;" as a % of Rev"</f>
        <v>Accounts Receivable as a % of Rev</v>
      </c>
      <c r="C75" s="25">
        <f>C19/C71</f>
        <v>6.2120668943439185E-2</v>
      </c>
      <c r="D75" s="26">
        <f>C75</f>
        <v>6.2120668943439185E-2</v>
      </c>
      <c r="E75" s="26">
        <f t="shared" ref="E75:H76" si="43">D75</f>
        <v>6.2120668943439185E-2</v>
      </c>
      <c r="F75" s="26">
        <f t="shared" si="43"/>
        <v>6.2120668943439185E-2</v>
      </c>
      <c r="G75" s="26">
        <f t="shared" si="43"/>
        <v>6.2120668943439185E-2</v>
      </c>
      <c r="H75" s="26">
        <f t="shared" si="43"/>
        <v>6.2120668943439185E-2</v>
      </c>
    </row>
    <row r="76" spans="2:8" x14ac:dyDescent="0.3">
      <c r="B76" t="str">
        <f>B20&amp;" as a % of COGS"</f>
        <v>Inventory as a % of COGS</v>
      </c>
      <c r="C76" s="25">
        <f>C20/C72</f>
        <v>0.11304668660807232</v>
      </c>
      <c r="D76" s="26">
        <f>C76</f>
        <v>0.11304668660807232</v>
      </c>
      <c r="E76" s="26">
        <f t="shared" si="43"/>
        <v>0.11304668660807232</v>
      </c>
      <c r="F76" s="26">
        <f t="shared" si="43"/>
        <v>0.11304668660807232</v>
      </c>
      <c r="G76" s="26">
        <f t="shared" si="43"/>
        <v>0.11304668660807232</v>
      </c>
      <c r="H76" s="26">
        <f t="shared" si="43"/>
        <v>0.11304668660807232</v>
      </c>
    </row>
    <row r="77" spans="2:8" x14ac:dyDescent="0.3">
      <c r="B77" t="str">
        <f>B25&amp;" as a % of COGS"</f>
        <v>Accounts Payable as a % of COGS</v>
      </c>
      <c r="C77" s="25">
        <f>C25/C72</f>
        <v>0.1960758476195496</v>
      </c>
      <c r="D77" s="26">
        <f>C77</f>
        <v>0.1960758476195496</v>
      </c>
      <c r="E77" s="26">
        <f t="shared" ref="E77:H77" si="44">D77</f>
        <v>0.1960758476195496</v>
      </c>
      <c r="F77" s="26">
        <f t="shared" si="44"/>
        <v>0.1960758476195496</v>
      </c>
      <c r="G77" s="26">
        <f t="shared" si="44"/>
        <v>0.1960758476195496</v>
      </c>
      <c r="H77" s="26">
        <f t="shared" si="44"/>
        <v>0.1960758476195496</v>
      </c>
    </row>
    <row r="79" spans="2:8" x14ac:dyDescent="0.3">
      <c r="B79" t="s">
        <v>29</v>
      </c>
      <c r="C79" s="11"/>
      <c r="D79" s="11">
        <v>40000</v>
      </c>
      <c r="E79" s="11">
        <f>D79</f>
        <v>40000</v>
      </c>
      <c r="F79" s="11">
        <f>E79</f>
        <v>40000</v>
      </c>
      <c r="G79" s="11">
        <f>F79</f>
        <v>40000</v>
      </c>
      <c r="H79" s="11">
        <f>G79</f>
        <v>40000</v>
      </c>
    </row>
    <row r="80" spans="2:8" x14ac:dyDescent="0.3">
      <c r="B80" t="s">
        <v>76</v>
      </c>
      <c r="C80" s="23"/>
      <c r="D80" s="23">
        <v>7.0000000000000007E-2</v>
      </c>
      <c r="E80" s="23">
        <v>7.0000000000000007E-2</v>
      </c>
      <c r="F80" s="23">
        <v>7.0000000000000007E-2</v>
      </c>
      <c r="G80" s="23">
        <v>7.0000000000000007E-2</v>
      </c>
      <c r="H80" s="23">
        <v>7.0000000000000007E-2</v>
      </c>
    </row>
    <row r="81" spans="1:8" x14ac:dyDescent="0.3">
      <c r="B81" t="s">
        <v>17</v>
      </c>
      <c r="C81" s="8"/>
      <c r="D81" s="8">
        <f>D79*D80</f>
        <v>2800.0000000000005</v>
      </c>
      <c r="E81" s="8">
        <f t="shared" ref="E81:H81" si="45">E79*E80</f>
        <v>2800.0000000000005</v>
      </c>
      <c r="F81" s="8">
        <f t="shared" si="45"/>
        <v>2800.0000000000005</v>
      </c>
      <c r="G81" s="8">
        <f t="shared" si="45"/>
        <v>2800.0000000000005</v>
      </c>
      <c r="H81" s="8">
        <f t="shared" si="45"/>
        <v>2800.0000000000005</v>
      </c>
    </row>
    <row r="82" spans="1:8" x14ac:dyDescent="0.3">
      <c r="B82" s="1"/>
      <c r="C82" s="19"/>
      <c r="D82" s="19"/>
      <c r="E82" s="19"/>
      <c r="F82" s="19"/>
      <c r="G82" s="19"/>
      <c r="H82" s="19"/>
    </row>
    <row r="83" spans="1:8" x14ac:dyDescent="0.3">
      <c r="A83" t="s">
        <v>55</v>
      </c>
      <c r="B83" s="4" t="s">
        <v>43</v>
      </c>
      <c r="C83" s="4"/>
      <c r="D83" s="4"/>
      <c r="E83" s="4"/>
      <c r="F83" s="4"/>
      <c r="G83" s="4"/>
      <c r="H83" s="4"/>
    </row>
    <row r="84" spans="1:8" x14ac:dyDescent="0.3">
      <c r="B84" s="20" t="s">
        <v>45</v>
      </c>
      <c r="C84" s="21"/>
      <c r="D84" s="21"/>
      <c r="E84" s="21"/>
      <c r="F84" s="21"/>
      <c r="G84" s="21"/>
      <c r="H84" s="21"/>
    </row>
    <row r="85" spans="1:8" x14ac:dyDescent="0.3">
      <c r="B85" t="s">
        <v>52</v>
      </c>
      <c r="D85" s="11">
        <v>15000</v>
      </c>
      <c r="E85" s="11">
        <v>12000</v>
      </c>
      <c r="F85" s="11">
        <v>10000</v>
      </c>
      <c r="G85" s="11">
        <v>7500</v>
      </c>
      <c r="H85" s="11">
        <v>7500</v>
      </c>
    </row>
    <row r="87" spans="1:8" x14ac:dyDescent="0.3">
      <c r="B87" t="s">
        <v>64</v>
      </c>
      <c r="C87" s="27">
        <v>10</v>
      </c>
    </row>
    <row r="88" spans="1:8" x14ac:dyDescent="0.3">
      <c r="B88" t="s">
        <v>63</v>
      </c>
      <c r="C88" s="27">
        <v>10</v>
      </c>
    </row>
    <row r="89" spans="1:8" x14ac:dyDescent="0.3">
      <c r="B89" t="s">
        <v>78</v>
      </c>
      <c r="C89" s="8">
        <f>C22</f>
        <v>48990</v>
      </c>
    </row>
    <row r="91" spans="1:8" x14ac:dyDescent="0.3">
      <c r="C91" s="1" t="s">
        <v>52</v>
      </c>
      <c r="D91" s="1">
        <v>2024</v>
      </c>
      <c r="E91" s="1">
        <v>2025</v>
      </c>
      <c r="F91" s="1">
        <v>2026</v>
      </c>
      <c r="G91" s="1">
        <v>2027</v>
      </c>
      <c r="H91" s="1">
        <v>2028</v>
      </c>
    </row>
    <row r="92" spans="1:8" x14ac:dyDescent="0.3">
      <c r="C92" s="8" cm="1">
        <f t="array" ref="C92:C96">TRANSPOSE(D85:H85)</f>
        <v>15000</v>
      </c>
      <c r="D92" s="8">
        <f>$C92/$C$88</f>
        <v>1500</v>
      </c>
      <c r="E92" s="8">
        <f>$C92/$C$88</f>
        <v>1500</v>
      </c>
      <c r="F92" s="8">
        <f>$C92/$C$88</f>
        <v>1500</v>
      </c>
      <c r="G92" s="8">
        <f>$C92/$C$88</f>
        <v>1500</v>
      </c>
      <c r="H92" s="8">
        <f>$C92/$C$88</f>
        <v>1500</v>
      </c>
    </row>
    <row r="93" spans="1:8" x14ac:dyDescent="0.3">
      <c r="C93" s="8">
        <v>12000</v>
      </c>
      <c r="D93" s="8"/>
      <c r="E93" s="8">
        <f>$C93/$C$88</f>
        <v>1200</v>
      </c>
      <c r="F93" s="8">
        <f>$C93/$C$88</f>
        <v>1200</v>
      </c>
      <c r="G93" s="8">
        <f>$C93/$C$88</f>
        <v>1200</v>
      </c>
      <c r="H93" s="8">
        <f>$C93/$C$88</f>
        <v>1200</v>
      </c>
    </row>
    <row r="94" spans="1:8" x14ac:dyDescent="0.3">
      <c r="C94" s="8">
        <v>10000</v>
      </c>
      <c r="D94" s="8"/>
      <c r="E94" s="8"/>
      <c r="F94" s="8">
        <f>$C94/$C$88</f>
        <v>1000</v>
      </c>
      <c r="G94" s="8">
        <f>$C94/$C$88</f>
        <v>1000</v>
      </c>
      <c r="H94" s="8">
        <f>$C94/$C$88</f>
        <v>1000</v>
      </c>
    </row>
    <row r="95" spans="1:8" x14ac:dyDescent="0.3">
      <c r="C95" s="8">
        <v>7500</v>
      </c>
      <c r="D95" s="8"/>
      <c r="E95" s="8"/>
      <c r="F95" s="8"/>
      <c r="G95" s="8">
        <f>$C95/$C$88</f>
        <v>750</v>
      </c>
      <c r="H95" s="8">
        <f>$C95/$C$88</f>
        <v>750</v>
      </c>
    </row>
    <row r="96" spans="1:8" x14ac:dyDescent="0.3">
      <c r="C96" s="8">
        <v>7500</v>
      </c>
      <c r="D96" s="8"/>
      <c r="E96" s="8"/>
      <c r="F96" s="8"/>
      <c r="G96" s="8"/>
      <c r="H96" s="8">
        <f>$C96/$C$88</f>
        <v>750</v>
      </c>
    </row>
    <row r="98" spans="1:8" x14ac:dyDescent="0.3">
      <c r="B98" t="s">
        <v>60</v>
      </c>
      <c r="C98">
        <f>$C$89/$C$87</f>
        <v>4899</v>
      </c>
      <c r="D98">
        <f t="shared" ref="D98:H98" si="46">$C$89/$C$87</f>
        <v>4899</v>
      </c>
      <c r="E98">
        <f t="shared" si="46"/>
        <v>4899</v>
      </c>
      <c r="F98">
        <f t="shared" si="46"/>
        <v>4899</v>
      </c>
      <c r="G98">
        <f t="shared" si="46"/>
        <v>4899</v>
      </c>
      <c r="H98">
        <f t="shared" si="46"/>
        <v>4899</v>
      </c>
    </row>
    <row r="99" spans="1:8" x14ac:dyDescent="0.3">
      <c r="B99" t="s">
        <v>61</v>
      </c>
      <c r="D99" s="8">
        <f>SUM(D92:D96)</f>
        <v>1500</v>
      </c>
      <c r="E99" s="8">
        <f t="shared" ref="E99:H99" si="47">SUM(E92:E96)</f>
        <v>2700</v>
      </c>
      <c r="F99" s="8">
        <f t="shared" si="47"/>
        <v>3700</v>
      </c>
      <c r="G99" s="8">
        <f t="shared" si="47"/>
        <v>4450</v>
      </c>
      <c r="H99" s="8">
        <f t="shared" si="47"/>
        <v>5200</v>
      </c>
    </row>
    <row r="100" spans="1:8" x14ac:dyDescent="0.3">
      <c r="B100" s="15" t="s">
        <v>62</v>
      </c>
      <c r="C100" s="15"/>
      <c r="D100" s="16">
        <f>SUM(D98:D99)</f>
        <v>6399</v>
      </c>
      <c r="E100" s="16">
        <f t="shared" ref="E100:H100" si="48">SUM(E98:E99)</f>
        <v>7599</v>
      </c>
      <c r="F100" s="16">
        <f t="shared" si="48"/>
        <v>8599</v>
      </c>
      <c r="G100" s="16">
        <f t="shared" si="48"/>
        <v>9349</v>
      </c>
      <c r="H100" s="16">
        <f t="shared" si="48"/>
        <v>10099</v>
      </c>
    </row>
    <row r="102" spans="1:8" x14ac:dyDescent="0.3">
      <c r="B102" t="s">
        <v>51</v>
      </c>
      <c r="D102" s="8">
        <f>C105</f>
        <v>48990</v>
      </c>
      <c r="E102" s="8">
        <f t="shared" ref="E102:H102" si="49">D105</f>
        <v>57591</v>
      </c>
      <c r="F102" s="8">
        <f t="shared" si="49"/>
        <v>61992</v>
      </c>
      <c r="G102" s="8">
        <f t="shared" si="49"/>
        <v>63393</v>
      </c>
      <c r="H102" s="8">
        <f t="shared" si="49"/>
        <v>61544</v>
      </c>
    </row>
    <row r="103" spans="1:8" x14ac:dyDescent="0.3">
      <c r="B103" t="s">
        <v>52</v>
      </c>
      <c r="D103" s="8">
        <f>D85</f>
        <v>15000</v>
      </c>
      <c r="E103" s="8">
        <f t="shared" ref="E103:H103" si="50">E85</f>
        <v>12000</v>
      </c>
      <c r="F103" s="8">
        <f t="shared" si="50"/>
        <v>10000</v>
      </c>
      <c r="G103" s="8">
        <f t="shared" si="50"/>
        <v>7500</v>
      </c>
      <c r="H103" s="8">
        <f t="shared" si="50"/>
        <v>7500</v>
      </c>
    </row>
    <row r="104" spans="1:8" x14ac:dyDescent="0.3">
      <c r="B104" t="s">
        <v>15</v>
      </c>
      <c r="D104" s="8">
        <f>-D100</f>
        <v>-6399</v>
      </c>
      <c r="E104" s="8">
        <f t="shared" ref="E104:H104" si="51">-E100</f>
        <v>-7599</v>
      </c>
      <c r="F104" s="8">
        <f t="shared" si="51"/>
        <v>-8599</v>
      </c>
      <c r="G104" s="8">
        <f t="shared" si="51"/>
        <v>-9349</v>
      </c>
      <c r="H104" s="8">
        <f t="shared" si="51"/>
        <v>-10099</v>
      </c>
    </row>
    <row r="105" spans="1:8" x14ac:dyDescent="0.3">
      <c r="B105" s="9" t="s">
        <v>53</v>
      </c>
      <c r="C105" s="10">
        <f>C89</f>
        <v>48990</v>
      </c>
      <c r="D105" s="10">
        <f>SUM(D102:D104)</f>
        <v>57591</v>
      </c>
      <c r="E105" s="10">
        <f t="shared" ref="E105:H105" si="52">SUM(E102:E104)</f>
        <v>61992</v>
      </c>
      <c r="F105" s="10">
        <f t="shared" si="52"/>
        <v>63393</v>
      </c>
      <c r="G105" s="10">
        <f t="shared" si="52"/>
        <v>61544</v>
      </c>
      <c r="H105" s="10">
        <f t="shared" si="52"/>
        <v>58945</v>
      </c>
    </row>
    <row r="107" spans="1:8" x14ac:dyDescent="0.3">
      <c r="A107" t="s">
        <v>55</v>
      </c>
      <c r="B107" s="20" t="s">
        <v>66</v>
      </c>
      <c r="C107" s="21"/>
      <c r="D107" s="21"/>
      <c r="E107" s="21"/>
      <c r="F107" s="21"/>
      <c r="G107" s="21"/>
      <c r="H107" s="21"/>
    </row>
    <row r="108" spans="1:8" x14ac:dyDescent="0.3">
      <c r="B108" t="s">
        <v>68</v>
      </c>
      <c r="C108" s="8"/>
      <c r="D108" s="8">
        <f>C111</f>
        <v>2155</v>
      </c>
      <c r="E108" s="8">
        <f t="shared" ref="E108:H108" ca="1" si="53">D111</f>
        <v>19366.234000000004</v>
      </c>
      <c r="F108" s="8">
        <f t="shared" ca="1" si="53"/>
        <v>35001.515200000016</v>
      </c>
      <c r="G108" s="8">
        <f t="shared" ca="1" si="53"/>
        <v>55370.111450000026</v>
      </c>
      <c r="H108" s="8">
        <f t="shared" ca="1" si="53"/>
        <v>76613.315575000015</v>
      </c>
    </row>
    <row r="109" spans="1:8" x14ac:dyDescent="0.3">
      <c r="B109" t="s">
        <v>20</v>
      </c>
      <c r="C109" s="8"/>
      <c r="D109" s="8">
        <f ca="1">D14</f>
        <v>27211.234000000004</v>
      </c>
      <c r="E109" s="8">
        <f t="shared" ref="E109:H109" ca="1" si="54">E14</f>
        <v>28135.281200000012</v>
      </c>
      <c r="F109" s="8">
        <f t="shared" ca="1" si="54"/>
        <v>35368.596250000002</v>
      </c>
      <c r="G109" s="8">
        <f t="shared" ca="1" si="54"/>
        <v>41243.204124999997</v>
      </c>
      <c r="H109" s="8">
        <f t="shared" ca="1" si="54"/>
        <v>43887.857499999998</v>
      </c>
    </row>
    <row r="110" spans="1:8" x14ac:dyDescent="0.3">
      <c r="B110" t="s">
        <v>42</v>
      </c>
      <c r="C110" s="8"/>
      <c r="D110" s="11">
        <v>-10000</v>
      </c>
      <c r="E110" s="11">
        <v>-12500</v>
      </c>
      <c r="F110" s="11">
        <v>-15000</v>
      </c>
      <c r="G110" s="11">
        <v>-20000</v>
      </c>
      <c r="H110" s="11">
        <v>-25000</v>
      </c>
    </row>
    <row r="111" spans="1:8" x14ac:dyDescent="0.3">
      <c r="B111" s="15" t="s">
        <v>67</v>
      </c>
      <c r="C111" s="16">
        <f>C33</f>
        <v>2155</v>
      </c>
      <c r="D111" s="16">
        <f ca="1">SUM(D108:D110)</f>
        <v>19366.234000000004</v>
      </c>
      <c r="E111" s="16">
        <f ca="1">SUM(E108:E110)</f>
        <v>35001.515200000016</v>
      </c>
      <c r="F111" s="16">
        <f ca="1">SUM(F108:F110)</f>
        <v>55370.111450000026</v>
      </c>
      <c r="G111" s="16">
        <f ca="1">SUM(G108:G110)</f>
        <v>76613.315575000015</v>
      </c>
      <c r="H111" s="16">
        <f ca="1">SUM(H108:H110)</f>
        <v>95501.173075000013</v>
      </c>
    </row>
    <row r="113" spans="1:9" x14ac:dyDescent="0.3">
      <c r="A113" t="s">
        <v>55</v>
      </c>
      <c r="B113" s="4" t="s">
        <v>27</v>
      </c>
      <c r="C113" s="4"/>
      <c r="D113" s="4"/>
      <c r="E113" s="4"/>
      <c r="F113" s="4"/>
      <c r="G113" s="4"/>
      <c r="H113" s="4"/>
    </row>
    <row r="114" spans="1:9" x14ac:dyDescent="0.3">
      <c r="B114" s="20" t="s">
        <v>69</v>
      </c>
      <c r="C114" s="21"/>
      <c r="D114" s="21"/>
      <c r="E114" s="21"/>
      <c r="F114" s="21"/>
      <c r="G114" s="21"/>
      <c r="H114" s="21"/>
    </row>
    <row r="115" spans="1:9" x14ac:dyDescent="0.3">
      <c r="B115" t="s">
        <v>8</v>
      </c>
      <c r="D115" s="8">
        <f>D57</f>
        <v>14589</v>
      </c>
      <c r="E115" s="8">
        <f t="shared" ref="E115:H115" ca="1" si="55">E57</f>
        <v>21534.405428426988</v>
      </c>
      <c r="F115" s="8">
        <f t="shared" ca="1" si="55"/>
        <v>-42493.354800151646</v>
      </c>
      <c r="G115" s="8">
        <f t="shared" ca="1" si="55"/>
        <v>-99474.727910468791</v>
      </c>
      <c r="H115" s="8">
        <f t="shared" ca="1" si="55"/>
        <v>-227132.15327332943</v>
      </c>
    </row>
    <row r="116" spans="1:9" x14ac:dyDescent="0.3">
      <c r="B116" t="s">
        <v>70</v>
      </c>
      <c r="D116" s="8">
        <f ca="1">D46</f>
        <v>31945.405428426988</v>
      </c>
      <c r="E116" s="8">
        <f t="shared" ref="E116:H116" ca="1" si="56">E46</f>
        <v>35472.239771421366</v>
      </c>
      <c r="F116" s="8">
        <f t="shared" ca="1" si="56"/>
        <v>43018.626889682855</v>
      </c>
      <c r="G116" s="8">
        <f t="shared" ca="1" si="56"/>
        <v>49842.574637139362</v>
      </c>
      <c r="H116" s="8">
        <f t="shared" ca="1" si="56"/>
        <v>53607.832823772129</v>
      </c>
    </row>
    <row r="117" spans="1:9" x14ac:dyDescent="0.3">
      <c r="B117" t="s">
        <v>71</v>
      </c>
      <c r="D117" s="8">
        <f>D49</f>
        <v>-15000</v>
      </c>
      <c r="E117" s="8">
        <f t="shared" ref="E117:H117" si="57">E49</f>
        <v>-12000</v>
      </c>
      <c r="F117" s="8">
        <f t="shared" si="57"/>
        <v>-10000</v>
      </c>
      <c r="G117" s="8">
        <f t="shared" si="57"/>
        <v>-7500</v>
      </c>
      <c r="H117" s="8">
        <f t="shared" si="57"/>
        <v>-7500</v>
      </c>
    </row>
    <row r="118" spans="1:9" x14ac:dyDescent="0.3">
      <c r="B118" t="s">
        <v>39</v>
      </c>
      <c r="D118" s="8">
        <f>D51</f>
        <v>0</v>
      </c>
      <c r="E118" s="8">
        <f t="shared" ref="E118:H118" si="58">E51</f>
        <v>0</v>
      </c>
      <c r="F118" s="8">
        <f t="shared" si="58"/>
        <v>0</v>
      </c>
      <c r="G118" s="8">
        <f t="shared" si="58"/>
        <v>0</v>
      </c>
      <c r="H118" s="8">
        <f t="shared" si="58"/>
        <v>0</v>
      </c>
    </row>
    <row r="119" spans="1:9" x14ac:dyDescent="0.3">
      <c r="B119" t="s">
        <v>41</v>
      </c>
      <c r="D119" s="8">
        <f>D53</f>
        <v>0</v>
      </c>
      <c r="E119" s="8">
        <f t="shared" ref="E119:H119" si="59">E53</f>
        <v>0</v>
      </c>
      <c r="F119" s="8">
        <f t="shared" si="59"/>
        <v>0</v>
      </c>
      <c r="G119" s="8">
        <f t="shared" si="59"/>
        <v>0</v>
      </c>
      <c r="H119" s="8">
        <f t="shared" si="59"/>
        <v>0</v>
      </c>
    </row>
    <row r="120" spans="1:9" x14ac:dyDescent="0.3">
      <c r="B120" t="s">
        <v>42</v>
      </c>
      <c r="D120" s="8">
        <f>D54</f>
        <v>-10000</v>
      </c>
      <c r="E120" s="8">
        <f t="shared" ref="E120:H120" si="60">E54</f>
        <v>-12500</v>
      </c>
      <c r="F120" s="8">
        <f t="shared" si="60"/>
        <v>-15000</v>
      </c>
      <c r="G120" s="8">
        <f t="shared" si="60"/>
        <v>-20000</v>
      </c>
      <c r="H120" s="8">
        <f t="shared" si="60"/>
        <v>-25000</v>
      </c>
    </row>
    <row r="121" spans="1:9" x14ac:dyDescent="0.3">
      <c r="B121" s="15" t="s">
        <v>72</v>
      </c>
      <c r="C121" s="15"/>
      <c r="D121" s="16">
        <f ca="1">SUM(D115:D120)</f>
        <v>21534.405428426988</v>
      </c>
      <c r="E121" s="16">
        <v>-75000</v>
      </c>
      <c r="F121" s="16">
        <f t="shared" ref="F121:H121" ca="1" si="61">SUM(F115:F120)</f>
        <v>-24474.727910468791</v>
      </c>
      <c r="G121" s="16">
        <f t="shared" ca="1" si="61"/>
        <v>-77132.15327332943</v>
      </c>
      <c r="H121" s="16">
        <f t="shared" ca="1" si="61"/>
        <v>-206024.3204495573</v>
      </c>
    </row>
    <row r="123" spans="1:9" x14ac:dyDescent="0.3">
      <c r="B123" s="20" t="s">
        <v>27</v>
      </c>
      <c r="C123" s="21"/>
      <c r="D123" s="21"/>
      <c r="E123" s="21"/>
      <c r="F123" s="21"/>
      <c r="G123" s="21"/>
      <c r="H123" s="21"/>
    </row>
    <row r="124" spans="1:9" x14ac:dyDescent="0.3">
      <c r="B124" t="s">
        <v>73</v>
      </c>
      <c r="D124" s="8">
        <f ca="1">C126</f>
        <v>0</v>
      </c>
      <c r="E124" s="8">
        <f t="shared" ref="E124:H124" ca="1" si="62">D126</f>
        <v>0</v>
      </c>
      <c r="F124" s="8">
        <f t="shared" ca="1" si="62"/>
        <v>-75000</v>
      </c>
      <c r="G124" s="8">
        <f t="shared" ca="1" si="62"/>
        <v>-150000</v>
      </c>
      <c r="H124" s="8">
        <f t="shared" ca="1" si="62"/>
        <v>-300000</v>
      </c>
    </row>
    <row r="125" spans="1:9" x14ac:dyDescent="0.3">
      <c r="B125" t="s">
        <v>40</v>
      </c>
      <c r="D125" s="8">
        <f ca="1">MIN(D121,D124)</f>
        <v>0</v>
      </c>
      <c r="E125" s="8">
        <f t="shared" ref="E125:H125" ca="1" si="63">MIN(E121,E124)</f>
        <v>-75000</v>
      </c>
      <c r="F125" s="8">
        <f t="shared" ca="1" si="63"/>
        <v>-75000</v>
      </c>
      <c r="G125" s="8">
        <f t="shared" ca="1" si="63"/>
        <v>-150000</v>
      </c>
      <c r="H125" s="8">
        <f t="shared" ca="1" si="63"/>
        <v>-300000</v>
      </c>
      <c r="I125" s="8"/>
    </row>
    <row r="126" spans="1:9" x14ac:dyDescent="0.3">
      <c r="B126" s="15" t="s">
        <v>74</v>
      </c>
      <c r="C126" s="16">
        <f ca="1">D52</f>
        <v>0</v>
      </c>
      <c r="D126" s="16">
        <f ca="1">SUM(D124:D125)</f>
        <v>0</v>
      </c>
      <c r="E126" s="16">
        <f t="shared" ref="E126:H126" ca="1" si="64">SUM(E124:E125)</f>
        <v>-75000</v>
      </c>
      <c r="F126" s="16">
        <f t="shared" ca="1" si="64"/>
        <v>-150000</v>
      </c>
      <c r="G126" s="16">
        <f t="shared" ca="1" si="64"/>
        <v>-300000</v>
      </c>
      <c r="H126" s="16">
        <f t="shared" ca="1" si="64"/>
        <v>-600000</v>
      </c>
    </row>
    <row r="128" spans="1:9" x14ac:dyDescent="0.3">
      <c r="B128" t="s">
        <v>80</v>
      </c>
      <c r="D128" s="24">
        <v>0.05</v>
      </c>
      <c r="E128" s="24">
        <v>0.05</v>
      </c>
      <c r="F128" s="24">
        <v>0.05</v>
      </c>
      <c r="G128" s="24">
        <v>0.05</v>
      </c>
      <c r="H128" s="24">
        <v>0.05</v>
      </c>
    </row>
    <row r="129" spans="1:8" x14ac:dyDescent="0.3">
      <c r="B129" t="s">
        <v>17</v>
      </c>
      <c r="D129" s="8">
        <f ca="1">D128*D126</f>
        <v>0</v>
      </c>
      <c r="E129" s="8">
        <f t="shared" ref="E129:H129" ca="1" si="65">E128*E126</f>
        <v>-3750</v>
      </c>
      <c r="F129" s="8">
        <f t="shared" ca="1" si="65"/>
        <v>-7500</v>
      </c>
      <c r="G129" s="8">
        <f t="shared" ca="1" si="65"/>
        <v>-15000</v>
      </c>
      <c r="H129" s="8">
        <f t="shared" ca="1" si="65"/>
        <v>-30000</v>
      </c>
    </row>
    <row r="130" spans="1:8" x14ac:dyDescent="0.3">
      <c r="A130" t="s">
        <v>55</v>
      </c>
      <c r="B130" s="15" t="s">
        <v>75</v>
      </c>
      <c r="C130" s="16"/>
      <c r="D130" s="16">
        <f ca="1">D128*D129+D81</f>
        <v>2800.0000000000005</v>
      </c>
      <c r="E130" s="16">
        <f t="shared" ref="E130:H130" ca="1" si="66">E128*E129+E81</f>
        <v>2612.5000000000005</v>
      </c>
      <c r="F130" s="16">
        <f t="shared" ca="1" si="66"/>
        <v>2425.0000000000005</v>
      </c>
      <c r="G130" s="16">
        <f t="shared" ca="1" si="66"/>
        <v>2050.0000000000005</v>
      </c>
      <c r="H130" s="16">
        <f t="shared" ca="1" si="66"/>
        <v>1300.0000000000005</v>
      </c>
    </row>
    <row r="138" spans="1:8" s="1" customFormat="1" x14ac:dyDescent="0.3"/>
    <row r="161" spans="1:1" x14ac:dyDescent="0.3">
      <c r="A161" t="s">
        <v>55</v>
      </c>
    </row>
  </sheetData>
  <sheetProtection algorithmName="SHA-512" hashValue="ohg1oWiR60sPxpBJA4YUL1IKw8zM61pYsq29sP2ZT5maWRwrB1x7SeQ+/Q75BwYGDdlRDboy36HJqheQR1pDhg==" saltValue="UL+jllkQ8qvqJKsq/ewI7w==" spinCount="100000" sheet="1" objects="1" scenarios="1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9A4DB5-C5C4-443F-87B2-80C3CEDDC2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772FDE-7B67-405C-912F-79931FAB6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Model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Ashutosh .</cp:lastModifiedBy>
  <dcterms:created xsi:type="dcterms:W3CDTF">2023-10-04T09:06:02Z</dcterms:created>
  <dcterms:modified xsi:type="dcterms:W3CDTF">2026-08-12T17:31:18Z</dcterms:modified>
</cp:coreProperties>
</file>